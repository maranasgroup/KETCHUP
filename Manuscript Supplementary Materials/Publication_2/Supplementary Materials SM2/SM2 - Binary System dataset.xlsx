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KETCHUP_dynamiic\Manuscript - Draft\Supplementary Files\Supplementary Materials S1 - filtered data\"/>
    </mc:Choice>
  </mc:AlternateContent>
  <xr:revisionPtr revIDLastSave="0" documentId="13_ncr:1_{AA102FFF-097B-4566-93AF-C66D3467FCC4}" xr6:coauthVersionLast="47" xr6:coauthVersionMax="47" xr10:uidLastSave="{00000000-0000-0000-0000-000000000000}"/>
  <bookViews>
    <workbookView xWindow="31140" yWindow="1815" windowWidth="17565" windowHeight="17250" firstSheet="1" activeTab="3" xr2:uid="{00000000-000D-0000-FFFF-FFFF00000000}"/>
  </bookViews>
  <sheets>
    <sheet name="quad_conc" sheetId="1" r:id="rId1"/>
    <sheet name="quad_conversion" sheetId="2" r:id="rId2"/>
    <sheet name="binary_conc (plt F)" sheetId="3" r:id="rId3"/>
    <sheet name="binary_conversion (plt G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3" l="1"/>
  <c r="M6" i="3"/>
  <c r="M7" i="3"/>
  <c r="M8" i="3"/>
  <c r="M9" i="3"/>
  <c r="M10" i="3"/>
  <c r="M11" i="3"/>
  <c r="M12" i="3"/>
  <c r="M13" i="3"/>
  <c r="M14" i="3"/>
  <c r="M15" i="3"/>
  <c r="D5" i="4"/>
  <c r="D5" i="3" l="1"/>
  <c r="D6" i="3"/>
  <c r="D7" i="3"/>
  <c r="D8" i="3"/>
  <c r="C8" i="3" s="1"/>
  <c r="D9" i="3"/>
  <c r="C9" i="3" s="1"/>
  <c r="D10" i="3"/>
  <c r="C10" i="3" s="1"/>
  <c r="D11" i="3"/>
  <c r="D12" i="3"/>
  <c r="D13" i="3"/>
  <c r="C13" i="3" s="1"/>
  <c r="D14" i="3"/>
  <c r="C14" i="3" s="1"/>
  <c r="D15" i="3"/>
  <c r="D4" i="3"/>
  <c r="D15" i="4"/>
  <c r="B6" i="4"/>
  <c r="B7" i="4"/>
  <c r="B8" i="4"/>
  <c r="B9" i="4"/>
  <c r="B10" i="4"/>
  <c r="B11" i="4"/>
  <c r="B12" i="4"/>
  <c r="B13" i="4"/>
  <c r="B14" i="4"/>
  <c r="B15" i="4"/>
  <c r="B5" i="4"/>
  <c r="D6" i="4"/>
  <c r="D7" i="4"/>
  <c r="D8" i="4"/>
  <c r="D9" i="4"/>
  <c r="D10" i="4"/>
  <c r="D11" i="4"/>
  <c r="D12" i="4"/>
  <c r="D13" i="4"/>
  <c r="D14" i="4"/>
  <c r="B6" i="3"/>
  <c r="B7" i="3"/>
  <c r="B8" i="3"/>
  <c r="B9" i="3"/>
  <c r="B10" i="3"/>
  <c r="B11" i="3"/>
  <c r="B12" i="3"/>
  <c r="B13" i="3"/>
  <c r="B14" i="3"/>
  <c r="B15" i="3"/>
  <c r="B5" i="3"/>
  <c r="G5" i="4"/>
  <c r="G6" i="4"/>
  <c r="G7" i="4"/>
  <c r="G8" i="4"/>
  <c r="G9" i="4"/>
  <c r="G10" i="4"/>
  <c r="G11" i="4"/>
  <c r="G12" i="4"/>
  <c r="G13" i="4"/>
  <c r="G14" i="4"/>
  <c r="G15" i="4"/>
  <c r="G4" i="4"/>
  <c r="J5" i="4"/>
  <c r="J6" i="4"/>
  <c r="J7" i="4"/>
  <c r="J8" i="4"/>
  <c r="J9" i="4"/>
  <c r="J10" i="4"/>
  <c r="J11" i="4"/>
  <c r="J12" i="4"/>
  <c r="J13" i="4"/>
  <c r="J14" i="4"/>
  <c r="J15" i="4"/>
  <c r="J4" i="4"/>
  <c r="C11" i="3" l="1"/>
  <c r="C7" i="3"/>
  <c r="C6" i="3"/>
  <c r="C5" i="3"/>
  <c r="C15" i="3"/>
  <c r="C12" i="3"/>
</calcChain>
</file>

<file path=xl/sharedStrings.xml><?xml version="1.0" encoding="utf-8"?>
<sst xmlns="http://schemas.openxmlformats.org/spreadsheetml/2006/main" count="166" uniqueCount="29">
  <si>
    <t>Time</t>
  </si>
  <si>
    <t>Pyruvate</t>
  </si>
  <si>
    <t>Formate</t>
  </si>
  <si>
    <t>Acetoin</t>
  </si>
  <si>
    <t>23BD</t>
  </si>
  <si>
    <t>Volume</t>
  </si>
  <si>
    <t>Formate added</t>
  </si>
  <si>
    <t>h</t>
  </si>
  <si>
    <t/>
  </si>
  <si>
    <t>mL</t>
  </si>
  <si>
    <t>Stdev</t>
  </si>
  <si>
    <t>Protons in</t>
  </si>
  <si>
    <t>Protons out</t>
  </si>
  <si>
    <t>Ratio</t>
  </si>
  <si>
    <t>Pyruvate conversion</t>
  </si>
  <si>
    <t>Formate conversion</t>
  </si>
  <si>
    <t>\g(m)moles</t>
  </si>
  <si>
    <t>Acetoin conversion</t>
  </si>
  <si>
    <t>Form conversion</t>
  </si>
  <si>
    <t>mmols</t>
  </si>
  <si>
    <t>µmoles</t>
  </si>
  <si>
    <t>Acetoin consumed</t>
  </si>
  <si>
    <t>Plot G</t>
  </si>
  <si>
    <t>µmoles/mL</t>
  </si>
  <si>
    <t>Acetoin corrected for dilution</t>
  </si>
  <si>
    <t>23BD cororected for dilution</t>
  </si>
  <si>
    <t>4.6M</t>
  </si>
  <si>
    <t>Formate accumulation rate</t>
  </si>
  <si>
    <t>mM/min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</si>
</sst>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-1.9837489063867068E-2"/>
                  <c:y val="-5.81882473024205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'binary_conc (plt F)'!$A$5:$A$14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'binary_conc (plt F)'!$E$5:$E$14</c:f>
              <c:numCache>
                <c:formatCode>General</c:formatCode>
                <c:ptCount val="10"/>
                <c:pt idx="0">
                  <c:v>17.028771715940302</c:v>
                </c:pt>
                <c:pt idx="1">
                  <c:v>20.524151173422698</c:v>
                </c:pt>
                <c:pt idx="2">
                  <c:v>34.5952941176471</c:v>
                </c:pt>
                <c:pt idx="3">
                  <c:v>36.208546174946697</c:v>
                </c:pt>
                <c:pt idx="4">
                  <c:v>53.506193233770198</c:v>
                </c:pt>
                <c:pt idx="5">
                  <c:v>58.794074977141101</c:v>
                </c:pt>
                <c:pt idx="6">
                  <c:v>69.011338006705301</c:v>
                </c:pt>
                <c:pt idx="7">
                  <c:v>63.364955806156701</c:v>
                </c:pt>
                <c:pt idx="8">
                  <c:v>69.728338921060697</c:v>
                </c:pt>
                <c:pt idx="9">
                  <c:v>160.070454129838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59-49C9-86E2-71B44CBD7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086448"/>
        <c:axId val="1637097488"/>
      </c:scatterChart>
      <c:valAx>
        <c:axId val="163708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97488"/>
        <c:crosses val="autoZero"/>
        <c:crossBetween val="midCat"/>
      </c:valAx>
      <c:valAx>
        <c:axId val="163709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8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'binary_conversion (plt G)'!$A$4:$A$15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24</c:v>
                </c:pt>
              </c:numCache>
            </c:numRef>
          </c:xVal>
          <c:yVal>
            <c:numRef>
              <c:f>'binary_conversion (plt G)'!$J$4:$J$15</c:f>
              <c:numCache>
                <c:formatCode>General</c:formatCode>
                <c:ptCount val="12"/>
                <c:pt idx="0">
                  <c:v>971.04399126092403</c:v>
                </c:pt>
                <c:pt idx="1">
                  <c:v>682.61818476903909</c:v>
                </c:pt>
                <c:pt idx="2">
                  <c:v>459.20802696629204</c:v>
                </c:pt>
                <c:pt idx="3">
                  <c:v>308.30033146067399</c:v>
                </c:pt>
                <c:pt idx="4">
                  <c:v>263.25445181023701</c:v>
                </c:pt>
                <c:pt idx="5">
                  <c:v>149.86803957553104</c:v>
                </c:pt>
                <c:pt idx="6">
                  <c:v>93.461510237204038</c:v>
                </c:pt>
                <c:pt idx="7">
                  <c:v>47.844795880150059</c:v>
                </c:pt>
                <c:pt idx="8">
                  <c:v>16.041147940075007</c:v>
                </c:pt>
                <c:pt idx="9">
                  <c:v>3.1477771535580814</c:v>
                </c:pt>
                <c:pt idx="10">
                  <c:v>0.58642009987499932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5-497E-B80D-9763BA1718A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'binary_conversion (plt G)'!$A$4:$A$15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24</c:v>
                </c:pt>
              </c:numCache>
            </c:numRef>
          </c:xVal>
          <c:yVal>
            <c:numRef>
              <c:f>'binary_conversion (plt G)'!$K$4:$K$15</c:f>
              <c:numCache>
                <c:formatCode>General</c:formatCode>
                <c:ptCount val="12"/>
                <c:pt idx="0">
                  <c:v>0</c:v>
                </c:pt>
                <c:pt idx="1">
                  <c:v>253.39045102215701</c:v>
                </c:pt>
                <c:pt idx="2">
                  <c:v>499.72115770596201</c:v>
                </c:pt>
                <c:pt idx="3">
                  <c:v>640.79838321091904</c:v>
                </c:pt>
                <c:pt idx="4">
                  <c:v>692.95529274697003</c:v>
                </c:pt>
                <c:pt idx="5">
                  <c:v>806.53899842086003</c:v>
                </c:pt>
                <c:pt idx="6">
                  <c:v>843.76168979067199</c:v>
                </c:pt>
                <c:pt idx="7">
                  <c:v>915.95322701065004</c:v>
                </c:pt>
                <c:pt idx="8">
                  <c:v>938.48410034888002</c:v>
                </c:pt>
                <c:pt idx="9">
                  <c:v>953.17393325376497</c:v>
                </c:pt>
                <c:pt idx="10">
                  <c:v>959.67609422817998</c:v>
                </c:pt>
                <c:pt idx="11">
                  <c:v>975.82660987269003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C5-497E-B80D-9763BA171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538672"/>
        <c:axId val="212062704"/>
      </c:scatterChart>
      <c:valAx>
        <c:axId val="22053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2704"/>
        <c:crosses val="autoZero"/>
        <c:crossBetween val="midCat"/>
      </c:valAx>
      <c:valAx>
        <c:axId val="21206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3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'binary_conversion (plt G)'!$A$4:$A$15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24</c:v>
                </c:pt>
              </c:numCache>
            </c:numRef>
          </c:xVal>
          <c:yVal>
            <c:numRef>
              <c:f>'binary_conversion (plt G)'!$E$4:$E$15</c:f>
              <c:numCache>
                <c:formatCode>General</c:formatCode>
                <c:ptCount val="12"/>
                <c:pt idx="0">
                  <c:v>0</c:v>
                </c:pt>
                <c:pt idx="1">
                  <c:v>295.31651063700099</c:v>
                </c:pt>
                <c:pt idx="2">
                  <c:v>502.36931246571203</c:v>
                </c:pt>
                <c:pt idx="3">
                  <c:v>627.98202471807394</c:v>
                </c:pt>
                <c:pt idx="4">
                  <c:v>719.66073425784805</c:v>
                </c:pt>
                <c:pt idx="5">
                  <c:v>818.17858317586104</c:v>
                </c:pt>
                <c:pt idx="6">
                  <c:v>812.82617135019802</c:v>
                </c:pt>
                <c:pt idx="7">
                  <c:v>918.62830143249005</c:v>
                </c:pt>
                <c:pt idx="8">
                  <c:v>970.58457025297105</c:v>
                </c:pt>
                <c:pt idx="9">
                  <c:v>964.38027171594001</c:v>
                </c:pt>
                <c:pt idx="10">
                  <c:v>967.719091100274</c:v>
                </c:pt>
                <c:pt idx="11">
                  <c:v>954.93586104846099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76-46A1-9F04-C5E58404F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519216"/>
        <c:axId val="473521136"/>
      </c:scatterChart>
      <c:valAx>
        <c:axId val="47351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21136"/>
        <c:crosses val="autoZero"/>
        <c:crossBetween val="midCat"/>
      </c:valAx>
      <c:valAx>
        <c:axId val="47352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1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489854</xdr:colOff>
      <xdr:row>16</xdr:row>
      <xdr:rowOff>146957</xdr:rowOff>
    </xdr:from>
    <xdr:to>
      <xdr:col>13</xdr:col>
      <xdr:colOff>0</xdr:colOff>
      <xdr:row>31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666915-867F-A011-C33E-DB3F688EC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118241</xdr:colOff>
      <xdr:row>5</xdr:row>
      <xdr:rowOff>57149</xdr:rowOff>
    </xdr:from>
    <xdr:to>
      <xdr:col>19</xdr:col>
      <xdr:colOff>131380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1654A-508C-D50B-4442-FBB776629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111673</xdr:colOff>
      <xdr:row>16</xdr:row>
      <xdr:rowOff>0</xdr:rowOff>
    </xdr:from>
    <xdr:to>
      <xdr:col>12</xdr:col>
      <xdr:colOff>358008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BBFE95-AC38-ACD1-2AEF-E5F6F0D7E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opLeftCell="B1" zoomScale="160" zoomScaleNormal="160" workbookViewId="0">
      <selection activeCell="Q16" sqref="Q1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6</v>
      </c>
    </row>
    <row r="2" spans="1:11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9</v>
      </c>
      <c r="K2" t="s">
        <v>9</v>
      </c>
    </row>
    <row r="3" spans="1:11" x14ac:dyDescent="0.25">
      <c r="A3" t="s">
        <v>8</v>
      </c>
      <c r="B3" t="s">
        <v>1</v>
      </c>
      <c r="C3" t="s">
        <v>10</v>
      </c>
      <c r="D3" t="s">
        <v>2</v>
      </c>
      <c r="E3" t="s">
        <v>10</v>
      </c>
      <c r="F3" t="s">
        <v>3</v>
      </c>
      <c r="G3" t="s">
        <v>10</v>
      </c>
      <c r="H3" t="s">
        <v>4</v>
      </c>
      <c r="I3" t="s">
        <v>10</v>
      </c>
      <c r="J3" t="s">
        <v>8</v>
      </c>
      <c r="K3" t="s">
        <v>8</v>
      </c>
    </row>
    <row r="4" spans="1:11" x14ac:dyDescent="0.25">
      <c r="A4">
        <v>0</v>
      </c>
      <c r="B4">
        <v>2017.3728482569099</v>
      </c>
      <c r="C4">
        <v>30.243774300722698</v>
      </c>
      <c r="D4">
        <v>102.62417749350401</v>
      </c>
      <c r="E4">
        <v>4.4886341331555801</v>
      </c>
      <c r="F4">
        <v>0</v>
      </c>
      <c r="G4">
        <v>0</v>
      </c>
      <c r="H4">
        <v>0</v>
      </c>
      <c r="I4">
        <v>0</v>
      </c>
      <c r="J4">
        <v>0.97499999999999998</v>
      </c>
      <c r="K4">
        <v>0</v>
      </c>
    </row>
    <row r="5" spans="1:11" x14ac:dyDescent="0.25">
      <c r="A5">
        <v>1</v>
      </c>
      <c r="B5">
        <v>704.14669463329994</v>
      </c>
      <c r="C5">
        <v>51.607461679105299</v>
      </c>
      <c r="D5">
        <v>394.53882670397797</v>
      </c>
      <c r="E5">
        <v>74.935253167402493</v>
      </c>
      <c r="F5">
        <v>281.88222877358498</v>
      </c>
      <c r="G5">
        <v>77.264940929524997</v>
      </c>
      <c r="H5">
        <v>216.46550561797801</v>
      </c>
      <c r="I5">
        <v>52.527440482142602</v>
      </c>
      <c r="J5">
        <v>1.1000000000000001</v>
      </c>
      <c r="K5">
        <v>0.15</v>
      </c>
    </row>
    <row r="6" spans="1:11" x14ac:dyDescent="0.25">
      <c r="A6">
        <v>2</v>
      </c>
      <c r="B6">
        <v>255.38323448575201</v>
      </c>
      <c r="C6">
        <v>75.373491413289997</v>
      </c>
      <c r="D6">
        <v>904.22127523485904</v>
      </c>
      <c r="E6">
        <v>85.284048529955896</v>
      </c>
      <c r="F6">
        <v>198.710448113208</v>
      </c>
      <c r="G6">
        <v>90.673836839849898</v>
      </c>
      <c r="H6">
        <v>400.59365168539301</v>
      </c>
      <c r="I6">
        <v>81.215504130082493</v>
      </c>
      <c r="J6">
        <v>1.2450000000000001</v>
      </c>
      <c r="K6">
        <v>0.32</v>
      </c>
    </row>
    <row r="7" spans="1:11" x14ac:dyDescent="0.25">
      <c r="A7">
        <v>3</v>
      </c>
      <c r="B7">
        <v>74.986026327209601</v>
      </c>
      <c r="C7">
        <v>24.538211205692601</v>
      </c>
      <c r="D7">
        <v>979.337941235259</v>
      </c>
      <c r="E7">
        <v>77.304254515457103</v>
      </c>
      <c r="F7">
        <v>92.931261792452801</v>
      </c>
      <c r="G7">
        <v>84.690062443385699</v>
      </c>
      <c r="H7">
        <v>513.52765917603006</v>
      </c>
      <c r="I7">
        <v>63.583915716495802</v>
      </c>
      <c r="J7">
        <v>1.2949999999999999</v>
      </c>
      <c r="K7">
        <v>0.39500000000000002</v>
      </c>
    </row>
    <row r="8" spans="1:11" x14ac:dyDescent="0.25">
      <c r="A8">
        <v>4</v>
      </c>
      <c r="B8">
        <v>12.4976710545349</v>
      </c>
      <c r="C8">
        <v>17.674375903401</v>
      </c>
      <c r="D8">
        <v>1060.4498340995401</v>
      </c>
      <c r="E8">
        <v>14.463376651279001</v>
      </c>
      <c r="F8">
        <v>0</v>
      </c>
      <c r="G8">
        <v>0</v>
      </c>
      <c r="H8">
        <v>590.79966292134804</v>
      </c>
      <c r="I8">
        <v>4.5548270068430998</v>
      </c>
      <c r="J8">
        <v>1.345</v>
      </c>
      <c r="K8">
        <v>0.47</v>
      </c>
    </row>
    <row r="9" spans="1:11" x14ac:dyDescent="0.25">
      <c r="A9">
        <v>5</v>
      </c>
      <c r="B9">
        <v>0</v>
      </c>
      <c r="C9">
        <v>0</v>
      </c>
      <c r="D9">
        <v>1134.06769338397</v>
      </c>
      <c r="E9">
        <v>19.575432191817299</v>
      </c>
      <c r="F9">
        <v>0</v>
      </c>
      <c r="G9">
        <v>0</v>
      </c>
      <c r="H9">
        <v>585.73477528089904</v>
      </c>
      <c r="I9">
        <v>3.6365151103021098</v>
      </c>
      <c r="J9">
        <v>1.345</v>
      </c>
      <c r="K9">
        <v>0.495</v>
      </c>
    </row>
    <row r="10" spans="1:11" x14ac:dyDescent="0.25">
      <c r="A10">
        <v>6</v>
      </c>
      <c r="B10">
        <v>0</v>
      </c>
      <c r="C10">
        <v>0</v>
      </c>
      <c r="D10">
        <v>1191.63950429742</v>
      </c>
      <c r="E10">
        <v>1.7455799406714601</v>
      </c>
      <c r="F10">
        <v>0</v>
      </c>
      <c r="G10">
        <v>0</v>
      </c>
      <c r="H10">
        <v>577.34524344569297</v>
      </c>
      <c r="I10">
        <v>6.0975909930318899</v>
      </c>
      <c r="J10">
        <v>1.34</v>
      </c>
      <c r="K10">
        <v>0.51500000000000001</v>
      </c>
    </row>
    <row r="11" spans="1:11" x14ac:dyDescent="0.25">
      <c r="A11">
        <v>7</v>
      </c>
      <c r="B11">
        <v>0</v>
      </c>
      <c r="C11">
        <v>0</v>
      </c>
      <c r="D11">
        <v>1230.34398360983</v>
      </c>
      <c r="E11">
        <v>6.3588983553037899</v>
      </c>
      <c r="F11">
        <v>0</v>
      </c>
      <c r="G11">
        <v>0</v>
      </c>
      <c r="H11">
        <v>573.31930711610505</v>
      </c>
      <c r="I11">
        <v>6.5751131792333197</v>
      </c>
      <c r="J11">
        <v>1.32</v>
      </c>
      <c r="K11">
        <v>0.52</v>
      </c>
    </row>
    <row r="12" spans="1:11" x14ac:dyDescent="0.25">
      <c r="A12">
        <v>8</v>
      </c>
      <c r="B12">
        <v>0</v>
      </c>
      <c r="C12">
        <v>0</v>
      </c>
      <c r="D12">
        <v>1257.49883469918</v>
      </c>
      <c r="E12">
        <v>8.1044782959752499</v>
      </c>
      <c r="F12">
        <v>0</v>
      </c>
      <c r="G12">
        <v>0</v>
      </c>
      <c r="H12">
        <v>575.86473782771498</v>
      </c>
      <c r="I12">
        <v>5.6200688068306199</v>
      </c>
      <c r="J12">
        <v>1.3049999999999999</v>
      </c>
      <c r="K12">
        <v>0.53</v>
      </c>
    </row>
    <row r="13" spans="1:11" x14ac:dyDescent="0.25">
      <c r="A13">
        <v>9</v>
      </c>
      <c r="B13">
        <v>0</v>
      </c>
      <c r="C13">
        <v>0</v>
      </c>
      <c r="D13">
        <v>1285.35900659604</v>
      </c>
      <c r="E13">
        <v>6.60826691825699</v>
      </c>
      <c r="F13">
        <v>0</v>
      </c>
      <c r="G13">
        <v>0</v>
      </c>
      <c r="H13">
        <v>576.20239700374498</v>
      </c>
      <c r="I13">
        <v>8.52193439990012</v>
      </c>
      <c r="J13">
        <v>1.29</v>
      </c>
      <c r="K13">
        <v>0.54</v>
      </c>
    </row>
    <row r="14" spans="1:11" x14ac:dyDescent="0.25">
      <c r="A14">
        <v>10</v>
      </c>
      <c r="B14">
        <v>0</v>
      </c>
      <c r="C14">
        <v>0</v>
      </c>
      <c r="D14">
        <v>1297.2612952228701</v>
      </c>
      <c r="E14">
        <v>1.2468428147653701</v>
      </c>
      <c r="F14">
        <v>0</v>
      </c>
      <c r="G14">
        <v>0</v>
      </c>
      <c r="H14">
        <v>578.41016853932604</v>
      </c>
      <c r="I14">
        <v>4.3711646275349496</v>
      </c>
      <c r="J14">
        <v>1.28</v>
      </c>
      <c r="K14">
        <v>0.55500000000000005</v>
      </c>
    </row>
    <row r="15" spans="1:11" x14ac:dyDescent="0.25">
      <c r="A15">
        <v>24</v>
      </c>
      <c r="B15">
        <v>0</v>
      </c>
      <c r="C15">
        <v>0</v>
      </c>
      <c r="D15">
        <v>1342.40182690386</v>
      </c>
      <c r="E15">
        <v>5.7354769479207803</v>
      </c>
      <c r="F15">
        <v>0</v>
      </c>
      <c r="G15">
        <v>0</v>
      </c>
      <c r="H15">
        <v>593.83859550561795</v>
      </c>
      <c r="I15">
        <v>4.95888424132119</v>
      </c>
      <c r="J15">
        <v>1.2549999999999999</v>
      </c>
      <c r="K15">
        <v>0.55500000000000005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workbookViewId="0">
      <selection activeCell="F42" sqref="F4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11</v>
      </c>
      <c r="K1" t="s">
        <v>10</v>
      </c>
      <c r="L1" t="s">
        <v>12</v>
      </c>
      <c r="M1" t="s">
        <v>10</v>
      </c>
      <c r="N1" t="s">
        <v>13</v>
      </c>
      <c r="O1" t="s">
        <v>14</v>
      </c>
      <c r="P1" t="s">
        <v>15</v>
      </c>
    </row>
    <row r="2" spans="1:16" x14ac:dyDescent="0.25">
      <c r="A2" t="s">
        <v>7</v>
      </c>
      <c r="B2" t="s">
        <v>16</v>
      </c>
      <c r="C2" t="s">
        <v>8</v>
      </c>
      <c r="D2" t="s">
        <v>16</v>
      </c>
      <c r="E2" t="s">
        <v>8</v>
      </c>
      <c r="F2" t="s">
        <v>16</v>
      </c>
      <c r="G2" t="s">
        <v>8</v>
      </c>
      <c r="H2" t="s">
        <v>16</v>
      </c>
      <c r="I2" t="s">
        <v>8</v>
      </c>
      <c r="J2" t="s">
        <v>16</v>
      </c>
      <c r="K2" t="s">
        <v>8</v>
      </c>
      <c r="L2" t="s">
        <v>16</v>
      </c>
      <c r="M2" t="s">
        <v>8</v>
      </c>
      <c r="N2" t="s">
        <v>8</v>
      </c>
      <c r="O2" t="s">
        <v>8</v>
      </c>
      <c r="P2" t="s">
        <v>8</v>
      </c>
    </row>
    <row r="3" spans="1:16" x14ac:dyDescent="0.25">
      <c r="A3" t="s">
        <v>8</v>
      </c>
      <c r="B3" t="s">
        <v>1</v>
      </c>
      <c r="C3" t="s">
        <v>10</v>
      </c>
      <c r="D3" t="s">
        <v>2</v>
      </c>
      <c r="E3" t="s">
        <v>10</v>
      </c>
      <c r="F3" t="s">
        <v>3</v>
      </c>
      <c r="G3" t="s">
        <v>10</v>
      </c>
      <c r="H3" t="s">
        <v>4</v>
      </c>
      <c r="I3" t="s">
        <v>10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</row>
    <row r="4" spans="1:1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</row>
    <row r="5" spans="1:16" x14ac:dyDescent="0.25">
      <c r="A5">
        <v>1</v>
      </c>
      <c r="B5">
        <v>1172.94889628237</v>
      </c>
      <c r="C5">
        <v>137.33676460472799</v>
      </c>
      <c r="D5">
        <v>358.55303173096098</v>
      </c>
      <c r="E5">
        <v>215.76350108414599</v>
      </c>
      <c r="F5">
        <v>314.38577918632097</v>
      </c>
      <c r="G5">
        <v>66.990974999538196</v>
      </c>
      <c r="H5">
        <v>239.96918164793999</v>
      </c>
      <c r="I5">
        <v>73.086607221901701</v>
      </c>
      <c r="J5">
        <v>705</v>
      </c>
      <c r="K5">
        <v>332.34018715767797</v>
      </c>
      <c r="L5">
        <v>719.90754494381997</v>
      </c>
      <c r="M5">
        <v>219.25982166570401</v>
      </c>
      <c r="N5">
        <v>1.0211454538210201</v>
      </c>
      <c r="O5">
        <v>0.24729362482865</v>
      </c>
      <c r="P5">
        <v>0.30015117549380999</v>
      </c>
    </row>
    <row r="6" spans="1:16" x14ac:dyDescent="0.25">
      <c r="A6">
        <v>2</v>
      </c>
      <c r="B6">
        <v>1624.46518081875</v>
      </c>
      <c r="C6">
        <v>130.11386491818499</v>
      </c>
      <c r="D6">
        <v>446.43713213072101</v>
      </c>
      <c r="E6">
        <v>155.74135954733299</v>
      </c>
      <c r="F6">
        <v>258.76816397405702</v>
      </c>
      <c r="G6">
        <v>114.277206202778</v>
      </c>
      <c r="H6">
        <v>499.313376685393</v>
      </c>
      <c r="I6">
        <v>106.778552394093</v>
      </c>
      <c r="J6">
        <v>1504</v>
      </c>
      <c r="K6">
        <v>66.468037431535194</v>
      </c>
      <c r="L6">
        <v>1497.9401300561799</v>
      </c>
      <c r="M6">
        <v>320.335657182278</v>
      </c>
      <c r="N6">
        <v>0.99597083115437501</v>
      </c>
      <c r="O6">
        <v>0.51455363558774603</v>
      </c>
      <c r="P6">
        <v>0.62453643389832603</v>
      </c>
    </row>
    <row r="7" spans="1:16" x14ac:dyDescent="0.25">
      <c r="A7">
        <v>3</v>
      </c>
      <c r="B7">
        <v>1843.70845703747</v>
      </c>
      <c r="C7">
        <v>66.643336393334593</v>
      </c>
      <c r="D7">
        <v>632.18342351589001</v>
      </c>
      <c r="E7">
        <v>176.85107873232201</v>
      </c>
      <c r="F7">
        <v>133.78580872641501</v>
      </c>
      <c r="G7">
        <v>114.017982107574</v>
      </c>
      <c r="H7">
        <v>665.69272790262198</v>
      </c>
      <c r="I7">
        <v>93.234737556768707</v>
      </c>
      <c r="J7">
        <v>1856.5</v>
      </c>
      <c r="K7">
        <v>99.702056147303196</v>
      </c>
      <c r="L7">
        <v>1997.07818370787</v>
      </c>
      <c r="M7">
        <v>279.70421267030599</v>
      </c>
      <c r="N7">
        <v>1.0757221565892101</v>
      </c>
      <c r="O7">
        <v>0.68601128934393096</v>
      </c>
      <c r="P7">
        <v>0.832642147735423</v>
      </c>
    </row>
    <row r="8" spans="1:16" x14ac:dyDescent="0.25">
      <c r="A8">
        <v>4</v>
      </c>
      <c r="B8">
        <v>1923.7038653985301</v>
      </c>
      <c r="C8">
        <v>57.843041556384001</v>
      </c>
      <c r="D8">
        <v>799.49439229462303</v>
      </c>
      <c r="E8">
        <v>120.57175809044899</v>
      </c>
      <c r="F8">
        <v>14.3380984669811</v>
      </c>
      <c r="G8">
        <v>6.3157210053190198</v>
      </c>
      <c r="H8">
        <v>794.56113164793999</v>
      </c>
      <c r="I8">
        <v>10.584095594772499</v>
      </c>
      <c r="J8">
        <v>2209</v>
      </c>
      <c r="K8">
        <v>132.93607486307101</v>
      </c>
      <c r="L8">
        <v>2383.6833949438201</v>
      </c>
      <c r="M8">
        <v>31.752286784317601</v>
      </c>
      <c r="N8">
        <v>1.0790780420750701</v>
      </c>
      <c r="O8">
        <v>0.81881307026101502</v>
      </c>
      <c r="P8">
        <v>0.99382952439162997</v>
      </c>
    </row>
    <row r="9" spans="1:16" x14ac:dyDescent="0.25">
      <c r="A9">
        <v>5</v>
      </c>
      <c r="B9">
        <v>1940.7631863879701</v>
      </c>
      <c r="C9">
        <v>33.717518448241698</v>
      </c>
      <c r="D9">
        <v>789.62976500099899</v>
      </c>
      <c r="E9">
        <v>100.63968194400699</v>
      </c>
      <c r="F9">
        <v>14.3380984669811</v>
      </c>
      <c r="G9">
        <v>6.3157210053190198</v>
      </c>
      <c r="H9">
        <v>787.77470168539298</v>
      </c>
      <c r="I9">
        <v>7.5341981239807803</v>
      </c>
      <c r="J9">
        <v>2326.5</v>
      </c>
      <c r="K9">
        <v>99.702056147303196</v>
      </c>
      <c r="L9">
        <v>2363.3241050561801</v>
      </c>
      <c r="M9">
        <v>22.602594371942299</v>
      </c>
      <c r="N9">
        <v>1.0158281130694999</v>
      </c>
      <c r="O9">
        <v>0.81181950194712205</v>
      </c>
      <c r="P9">
        <v>0.98534112218649506</v>
      </c>
    </row>
    <row r="10" spans="1:16" x14ac:dyDescent="0.25">
      <c r="A10">
        <v>6</v>
      </c>
      <c r="B10">
        <v>1940.7631863879701</v>
      </c>
      <c r="C10">
        <v>33.717518448241698</v>
      </c>
      <c r="D10">
        <v>782.13674575254799</v>
      </c>
      <c r="E10">
        <v>70.706726489933004</v>
      </c>
      <c r="F10">
        <v>14.3380984669811</v>
      </c>
      <c r="G10">
        <v>6.3157210053190198</v>
      </c>
      <c r="H10">
        <v>773.70730093632994</v>
      </c>
      <c r="I10">
        <v>20.418114032450202</v>
      </c>
      <c r="J10">
        <v>2420.5</v>
      </c>
      <c r="K10">
        <v>99.702056147303196</v>
      </c>
      <c r="L10">
        <v>2321.1219028089899</v>
      </c>
      <c r="M10">
        <v>61.254342097350502</v>
      </c>
      <c r="N10">
        <v>0.95894315340177205</v>
      </c>
      <c r="O10">
        <v>0.79732272990638098</v>
      </c>
      <c r="P10">
        <v>0.96774575080597902</v>
      </c>
    </row>
    <row r="11" spans="1:16" x14ac:dyDescent="0.25">
      <c r="A11">
        <v>7</v>
      </c>
      <c r="B11">
        <v>1940.7631863879701</v>
      </c>
      <c r="C11">
        <v>33.717518448241698</v>
      </c>
      <c r="D11">
        <v>747.72946663002097</v>
      </c>
      <c r="E11">
        <v>105.311648880535</v>
      </c>
      <c r="F11">
        <v>14.3380984669811</v>
      </c>
      <c r="G11">
        <v>6.3157210053190198</v>
      </c>
      <c r="H11">
        <v>756.87447153558105</v>
      </c>
      <c r="I11">
        <v>24.895068190466901</v>
      </c>
      <c r="J11">
        <v>2444</v>
      </c>
      <c r="K11">
        <v>132.93607486307101</v>
      </c>
      <c r="L11">
        <v>2270.62341460674</v>
      </c>
      <c r="M11">
        <v>74.685204571400604</v>
      </c>
      <c r="N11">
        <v>0.92906031694220204</v>
      </c>
      <c r="O11">
        <v>0.77997612160423502</v>
      </c>
      <c r="P11">
        <v>0.94669140750728897</v>
      </c>
    </row>
    <row r="12" spans="1:16" x14ac:dyDescent="0.25">
      <c r="A12">
        <v>8</v>
      </c>
      <c r="B12">
        <v>1940.7631863879701</v>
      </c>
      <c r="C12">
        <v>33.717518448241698</v>
      </c>
      <c r="D12">
        <v>746.33476107335503</v>
      </c>
      <c r="E12">
        <v>106.928804011287</v>
      </c>
      <c r="F12">
        <v>14.3380984669811</v>
      </c>
      <c r="G12">
        <v>6.3157210053190198</v>
      </c>
      <c r="H12">
        <v>751.58296264044998</v>
      </c>
      <c r="I12">
        <v>23.6221042394817</v>
      </c>
      <c r="J12">
        <v>2491</v>
      </c>
      <c r="K12">
        <v>132.93607486307101</v>
      </c>
      <c r="L12">
        <v>2254.7488879213502</v>
      </c>
      <c r="M12">
        <v>70.866312718445101</v>
      </c>
      <c r="N12">
        <v>0.90515812441643895</v>
      </c>
      <c r="O12">
        <v>0.774523102985328</v>
      </c>
      <c r="P12">
        <v>0.94007283838894395</v>
      </c>
    </row>
    <row r="13" spans="1:16" x14ac:dyDescent="0.25">
      <c r="A13">
        <v>9</v>
      </c>
      <c r="B13">
        <v>1940.7631863879701</v>
      </c>
      <c r="C13">
        <v>33.717518448241698</v>
      </c>
      <c r="D13">
        <v>743.86884954027505</v>
      </c>
      <c r="E13">
        <v>135.164900213669</v>
      </c>
      <c r="F13">
        <v>14.3380984669811</v>
      </c>
      <c r="G13">
        <v>6.3157210053190198</v>
      </c>
      <c r="H13">
        <v>743.48186966292201</v>
      </c>
      <c r="I13">
        <v>35.439492711308702</v>
      </c>
      <c r="J13">
        <v>2538</v>
      </c>
      <c r="K13">
        <v>199.40411229460599</v>
      </c>
      <c r="L13">
        <v>2230.4456089887699</v>
      </c>
      <c r="M13">
        <v>106.31847813392601</v>
      </c>
      <c r="N13">
        <v>0.87882017690652703</v>
      </c>
      <c r="O13">
        <v>0.76617474494314497</v>
      </c>
      <c r="P13">
        <v>0.92994006815865204</v>
      </c>
    </row>
    <row r="14" spans="1:16" x14ac:dyDescent="0.25">
      <c r="A14">
        <v>10</v>
      </c>
      <c r="B14">
        <v>1940.7631863879701</v>
      </c>
      <c r="C14">
        <v>33.717518448241698</v>
      </c>
      <c r="D14">
        <v>779.70938505896299</v>
      </c>
      <c r="E14">
        <v>72.628734688893402</v>
      </c>
      <c r="F14">
        <v>14.3380984669811</v>
      </c>
      <c r="G14">
        <v>6.3157210053190198</v>
      </c>
      <c r="H14">
        <v>740.41137893258497</v>
      </c>
      <c r="I14">
        <v>17.865023297687099</v>
      </c>
      <c r="J14">
        <v>2608.5</v>
      </c>
      <c r="K14">
        <v>99.702056147303196</v>
      </c>
      <c r="L14">
        <v>2221.2341367977501</v>
      </c>
      <c r="M14">
        <v>53.595069893061002</v>
      </c>
      <c r="N14">
        <v>0.851536951043801</v>
      </c>
      <c r="O14">
        <v>0.763010535366342</v>
      </c>
      <c r="P14">
        <v>0.92609952748703595</v>
      </c>
    </row>
    <row r="15" spans="1:16" x14ac:dyDescent="0.25">
      <c r="A15">
        <v>24</v>
      </c>
      <c r="B15">
        <v>1940.7631863879701</v>
      </c>
      <c r="C15">
        <v>33.717518448241698</v>
      </c>
      <c r="D15">
        <v>721.85544582250498</v>
      </c>
      <c r="E15">
        <v>62.733790110915201</v>
      </c>
      <c r="F15">
        <v>14.3380984669811</v>
      </c>
      <c r="G15">
        <v>6.3157210053190198</v>
      </c>
      <c r="H15">
        <v>745.32003426966298</v>
      </c>
      <c r="I15">
        <v>18.820618657227602</v>
      </c>
      <c r="J15">
        <v>2608.5</v>
      </c>
      <c r="K15">
        <v>99.702056147303196</v>
      </c>
      <c r="L15">
        <v>2235.9601028089901</v>
      </c>
      <c r="M15">
        <v>56.4618559716831</v>
      </c>
      <c r="N15">
        <v>0.85718232808471895</v>
      </c>
      <c r="O15">
        <v>0.76806901480526302</v>
      </c>
      <c r="P15">
        <v>0.93223922700761697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zoomScale="130" zoomScaleNormal="130" workbookViewId="0">
      <selection activeCell="G16" sqref="G1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</v>
      </c>
      <c r="E1" t="s">
        <v>2</v>
      </c>
      <c r="F1" t="s">
        <v>2</v>
      </c>
      <c r="G1" t="s">
        <v>3</v>
      </c>
      <c r="H1" t="s">
        <v>3</v>
      </c>
      <c r="I1" t="s">
        <v>4</v>
      </c>
      <c r="J1" t="s">
        <v>4</v>
      </c>
      <c r="K1" t="s">
        <v>5</v>
      </c>
      <c r="L1" t="s">
        <v>6</v>
      </c>
    </row>
    <row r="2" spans="1:13" x14ac:dyDescent="0.25">
      <c r="A2" t="s">
        <v>7</v>
      </c>
      <c r="B2" t="s">
        <v>19</v>
      </c>
      <c r="C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9</v>
      </c>
      <c r="L2" t="s">
        <v>9</v>
      </c>
    </row>
    <row r="3" spans="1:13" x14ac:dyDescent="0.25">
      <c r="A3" t="s">
        <v>8</v>
      </c>
      <c r="B3" t="s">
        <v>1</v>
      </c>
      <c r="C3" t="s">
        <v>10</v>
      </c>
      <c r="E3" t="s">
        <v>2</v>
      </c>
      <c r="F3" t="s">
        <v>10</v>
      </c>
      <c r="G3" t="s">
        <v>3</v>
      </c>
      <c r="H3" t="s">
        <v>10</v>
      </c>
      <c r="I3" t="s">
        <v>4</v>
      </c>
      <c r="J3" t="s">
        <v>10</v>
      </c>
      <c r="K3" t="s">
        <v>8</v>
      </c>
      <c r="L3" t="s">
        <v>26</v>
      </c>
    </row>
    <row r="4" spans="1:13" x14ac:dyDescent="0.25">
      <c r="A4">
        <v>0</v>
      </c>
      <c r="B4">
        <v>0</v>
      </c>
      <c r="D4">
        <f t="shared" ref="D4:D15" si="0">E4/K4</f>
        <v>106.44705882352923</v>
      </c>
      <c r="E4">
        <v>103.785882352941</v>
      </c>
      <c r="F4">
        <v>2.7884791476170401</v>
      </c>
      <c r="G4">
        <v>1066.4502122347101</v>
      </c>
      <c r="H4">
        <v>19.102264584854201</v>
      </c>
      <c r="I4">
        <v>0</v>
      </c>
      <c r="J4">
        <v>0</v>
      </c>
      <c r="K4">
        <v>0.97499999999999998</v>
      </c>
      <c r="L4">
        <v>0</v>
      </c>
    </row>
    <row r="5" spans="1:13" x14ac:dyDescent="0.25">
      <c r="A5">
        <v>1</v>
      </c>
      <c r="B5">
        <f>A5*60</f>
        <v>60</v>
      </c>
      <c r="C5">
        <f>(D5-D4)/(B5-B4)</f>
        <v>-1.48887858984039</v>
      </c>
      <c r="D5">
        <f t="shared" si="0"/>
        <v>17.11434343310583</v>
      </c>
      <c r="E5">
        <v>17.028771715940302</v>
      </c>
      <c r="F5">
        <v>1.5209886259729299</v>
      </c>
      <c r="G5">
        <v>736.92147315855198</v>
      </c>
      <c r="H5">
        <v>83.934192872844207</v>
      </c>
      <c r="I5">
        <v>248.271132329539</v>
      </c>
      <c r="J5">
        <v>43.528375097583698</v>
      </c>
      <c r="K5">
        <v>0.995</v>
      </c>
      <c r="L5">
        <v>4.4999999999999998E-2</v>
      </c>
      <c r="M5">
        <f>4.6/K5*(L5-L4)/(B5-B4)*1000</f>
        <v>3.4673366834170851</v>
      </c>
    </row>
    <row r="6" spans="1:13" x14ac:dyDescent="0.25">
      <c r="A6">
        <v>2</v>
      </c>
      <c r="B6">
        <f t="shared" ref="B6:B15" si="1">A6*60</f>
        <v>120</v>
      </c>
      <c r="C6">
        <f t="shared" ref="C6:C15" si="2">(D6-D5)/(B6-B5)</f>
        <v>5.177491935665491E-2</v>
      </c>
      <c r="D6">
        <f t="shared" si="0"/>
        <v>20.220838594505125</v>
      </c>
      <c r="E6">
        <v>20.524151173422698</v>
      </c>
      <c r="F6">
        <v>7.2246959733714098</v>
      </c>
      <c r="G6">
        <v>490.57780274656699</v>
      </c>
      <c r="H6">
        <v>94.8879389984249</v>
      </c>
      <c r="I6">
        <v>474.06907210184801</v>
      </c>
      <c r="J6">
        <v>68.242085161591902</v>
      </c>
      <c r="K6">
        <v>1.0149999999999999</v>
      </c>
      <c r="L6">
        <v>0.09</v>
      </c>
      <c r="M6">
        <f t="shared" ref="M6:M15" si="3">4.6/K6*(L6-L5)/(B6-B5)*1000</f>
        <v>3.3990147783251232</v>
      </c>
    </row>
    <row r="7" spans="1:13" x14ac:dyDescent="0.25">
      <c r="A7">
        <v>3</v>
      </c>
      <c r="B7">
        <f t="shared" si="1"/>
        <v>180</v>
      </c>
      <c r="C7">
        <f t="shared" si="2"/>
        <v>0.22826860704659921</v>
      </c>
      <c r="D7">
        <f t="shared" si="0"/>
        <v>33.916955017301078</v>
      </c>
      <c r="E7">
        <v>34.5952941176471</v>
      </c>
      <c r="F7">
        <v>8.3654374428511495</v>
      </c>
      <c r="G7">
        <v>332.61433208489399</v>
      </c>
      <c r="H7">
        <v>86.561310846052507</v>
      </c>
      <c r="I7">
        <v>595.177314236749</v>
      </c>
      <c r="J7">
        <v>55.124964395343</v>
      </c>
      <c r="K7">
        <v>1.02</v>
      </c>
      <c r="L7">
        <v>0.12</v>
      </c>
      <c r="M7">
        <f t="shared" si="3"/>
        <v>2.2549019607843137</v>
      </c>
    </row>
    <row r="8" spans="1:13" x14ac:dyDescent="0.25">
      <c r="A8">
        <v>4</v>
      </c>
      <c r="B8">
        <f t="shared" si="1"/>
        <v>240</v>
      </c>
      <c r="C8">
        <f t="shared" si="2"/>
        <v>2.927482483392628E-2</v>
      </c>
      <c r="D8">
        <f t="shared" si="0"/>
        <v>35.673444507336654</v>
      </c>
      <c r="E8">
        <v>36.208546174946697</v>
      </c>
      <c r="F8">
        <v>9.8864260688241004</v>
      </c>
      <c r="G8">
        <v>282.30027465667899</v>
      </c>
      <c r="H8">
        <v>84.245884835767498</v>
      </c>
      <c r="I8">
        <v>634.28572897539505</v>
      </c>
      <c r="J8">
        <v>50.939498169125798</v>
      </c>
      <c r="K8">
        <v>1.0149999999999999</v>
      </c>
      <c r="L8">
        <v>0.14000000000000001</v>
      </c>
      <c r="M8">
        <f t="shared" si="3"/>
        <v>1.5106732348111671</v>
      </c>
    </row>
    <row r="9" spans="1:13" x14ac:dyDescent="0.25">
      <c r="A9">
        <v>5</v>
      </c>
      <c r="B9">
        <f t="shared" si="1"/>
        <v>300</v>
      </c>
      <c r="C9">
        <f>(D9-D8)/(B9-B8)</f>
        <v>0.28403361344537764</v>
      </c>
      <c r="D9">
        <f t="shared" si="0"/>
        <v>52.715461314059311</v>
      </c>
      <c r="E9">
        <v>53.506193233770198</v>
      </c>
      <c r="F9">
        <v>14.829639103236101</v>
      </c>
      <c r="G9">
        <v>166.559051186017</v>
      </c>
      <c r="H9">
        <v>63.0508313570013</v>
      </c>
      <c r="I9">
        <v>728.10151426123196</v>
      </c>
      <c r="J9">
        <v>48.869789955490198</v>
      </c>
      <c r="K9">
        <v>1.0149999999999999</v>
      </c>
      <c r="L9">
        <v>0.16500000000000001</v>
      </c>
      <c r="M9">
        <f t="shared" si="3"/>
        <v>1.888341543513957</v>
      </c>
    </row>
    <row r="10" spans="1:13" x14ac:dyDescent="0.25">
      <c r="A10">
        <v>6</v>
      </c>
      <c r="B10">
        <f t="shared" si="1"/>
        <v>360</v>
      </c>
      <c r="C10">
        <f t="shared" si="2"/>
        <v>0.11120822013842399</v>
      </c>
      <c r="D10">
        <f t="shared" si="0"/>
        <v>59.387954522364751</v>
      </c>
      <c r="E10">
        <v>58.794074977141101</v>
      </c>
      <c r="F10">
        <v>13.435399529427601</v>
      </c>
      <c r="G10">
        <v>110.76649188514401</v>
      </c>
      <c r="H10">
        <v>42.033887571334098</v>
      </c>
      <c r="I10">
        <v>764.79733137470896</v>
      </c>
      <c r="J10">
        <v>46.648248976186601</v>
      </c>
      <c r="K10">
        <v>0.99</v>
      </c>
      <c r="L10">
        <v>0.16500000000000001</v>
      </c>
      <c r="M10">
        <f t="shared" si="3"/>
        <v>0</v>
      </c>
    </row>
    <row r="11" spans="1:13" x14ac:dyDescent="0.25">
      <c r="A11">
        <v>7</v>
      </c>
      <c r="B11">
        <f t="shared" si="1"/>
        <v>420</v>
      </c>
      <c r="C11">
        <f t="shared" si="2"/>
        <v>0.17200779511050848</v>
      </c>
      <c r="D11">
        <f t="shared" si="0"/>
        <v>69.708422228995261</v>
      </c>
      <c r="E11">
        <v>69.011338006705301</v>
      </c>
      <c r="F11">
        <v>12.1679090077834</v>
      </c>
      <c r="G11">
        <v>62.656429463171001</v>
      </c>
      <c r="H11">
        <v>22.7089858701064</v>
      </c>
      <c r="I11">
        <v>817.57209327947101</v>
      </c>
      <c r="J11">
        <v>19.8488119470532</v>
      </c>
      <c r="K11">
        <v>0.99</v>
      </c>
      <c r="L11">
        <v>0.19</v>
      </c>
      <c r="M11">
        <f t="shared" si="3"/>
        <v>1.9360269360269355</v>
      </c>
    </row>
    <row r="12" spans="1:13" x14ac:dyDescent="0.25">
      <c r="A12">
        <v>8</v>
      </c>
      <c r="B12">
        <f t="shared" si="1"/>
        <v>480</v>
      </c>
      <c r="C12">
        <f t="shared" si="2"/>
        <v>-7.8645399437840519E-2</v>
      </c>
      <c r="D12">
        <f t="shared" si="0"/>
        <v>64.989698262724829</v>
      </c>
      <c r="E12">
        <v>63.364955806156701</v>
      </c>
      <c r="F12">
        <v>5.1967111387408496</v>
      </c>
      <c r="G12">
        <v>30.2262172284644</v>
      </c>
      <c r="H12">
        <v>1.7810969309887399</v>
      </c>
      <c r="I12">
        <v>831.92724568490598</v>
      </c>
      <c r="J12">
        <v>9.6777270683859307</v>
      </c>
      <c r="K12">
        <v>0.97499999999999998</v>
      </c>
      <c r="L12">
        <v>0.2</v>
      </c>
      <c r="M12">
        <f t="shared" si="3"/>
        <v>0.78632478632478697</v>
      </c>
    </row>
    <row r="13" spans="1:13" x14ac:dyDescent="0.25">
      <c r="A13">
        <v>9</v>
      </c>
      <c r="B13">
        <f t="shared" si="1"/>
        <v>540</v>
      </c>
      <c r="C13">
        <f t="shared" si="2"/>
        <v>0.14014255388547572</v>
      </c>
      <c r="D13">
        <f t="shared" si="0"/>
        <v>73.398251495853373</v>
      </c>
      <c r="E13">
        <v>69.728338921060697</v>
      </c>
      <c r="F13">
        <v>7.3514450255358303</v>
      </c>
      <c r="G13">
        <v>17.0022471910112</v>
      </c>
      <c r="H13">
        <v>6.6791134912077696</v>
      </c>
      <c r="I13">
        <v>846.99374097196699</v>
      </c>
      <c r="J13">
        <v>6.5638396636461902</v>
      </c>
      <c r="K13">
        <v>0.95</v>
      </c>
      <c r="L13">
        <v>0.2</v>
      </c>
      <c r="M13">
        <f t="shared" si="3"/>
        <v>0</v>
      </c>
    </row>
    <row r="14" spans="1:13" x14ac:dyDescent="0.25">
      <c r="A14">
        <v>10</v>
      </c>
      <c r="B14">
        <f t="shared" si="1"/>
        <v>600</v>
      </c>
      <c r="C14">
        <f t="shared" si="2"/>
        <v>1.5998078741844191</v>
      </c>
      <c r="D14">
        <f t="shared" si="0"/>
        <v>169.38672394691852</v>
      </c>
      <c r="E14">
        <v>160.070454129838</v>
      </c>
      <c r="F14">
        <v>115.595135573943</v>
      </c>
      <c r="G14">
        <v>13.822197253433201</v>
      </c>
      <c r="H14">
        <v>12.9574801729431</v>
      </c>
      <c r="I14">
        <v>836.53883339454001</v>
      </c>
      <c r="J14">
        <v>20.962427656425501</v>
      </c>
      <c r="K14">
        <v>0.94499999999999995</v>
      </c>
      <c r="L14">
        <v>0.22</v>
      </c>
      <c r="M14">
        <f t="shared" si="3"/>
        <v>1.6225749559082885</v>
      </c>
    </row>
    <row r="15" spans="1:13" x14ac:dyDescent="0.25">
      <c r="A15">
        <v>24</v>
      </c>
      <c r="B15">
        <f t="shared" si="1"/>
        <v>1440</v>
      </c>
      <c r="C15">
        <f t="shared" si="2"/>
        <v>2.2875822001600623E-2</v>
      </c>
      <c r="D15">
        <f t="shared" si="0"/>
        <v>188.60241442826305</v>
      </c>
      <c r="E15">
        <v>173.51422127400201</v>
      </c>
      <c r="F15">
        <v>121.172093869177</v>
      </c>
      <c r="G15">
        <v>13.1609987515605</v>
      </c>
      <c r="H15">
        <v>15.6736529927009</v>
      </c>
      <c r="I15">
        <v>853.72758844411806</v>
      </c>
      <c r="J15">
        <v>27.528471131878401</v>
      </c>
      <c r="K15">
        <v>0.92</v>
      </c>
      <c r="L15">
        <v>0.22</v>
      </c>
      <c r="M15">
        <f t="shared" si="3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"/>
  <sheetViews>
    <sheetView tabSelected="1" zoomScale="145" zoomScaleNormal="145" workbookViewId="0">
      <selection activeCell="I18" sqref="I18"/>
    </sheetView>
  </sheetViews>
  <sheetFormatPr defaultRowHeight="15" x14ac:dyDescent="0.25"/>
  <cols>
    <col min="5" max="5" width="10.85546875" customWidth="1"/>
    <col min="8" max="8" width="10.42578125" customWidth="1"/>
    <col min="18" max="18" width="13.42578125" customWidth="1"/>
  </cols>
  <sheetData>
    <row r="1" spans="1:21" x14ac:dyDescent="0.25">
      <c r="A1" t="s">
        <v>0</v>
      </c>
      <c r="B1" t="s">
        <v>1</v>
      </c>
      <c r="C1" t="s">
        <v>1</v>
      </c>
      <c r="D1" t="s">
        <v>27</v>
      </c>
      <c r="E1" t="s">
        <v>2</v>
      </c>
      <c r="F1" t="s">
        <v>2</v>
      </c>
      <c r="H1" t="s">
        <v>21</v>
      </c>
      <c r="I1" t="s">
        <v>3</v>
      </c>
      <c r="J1" t="s">
        <v>24</v>
      </c>
      <c r="K1" t="s">
        <v>25</v>
      </c>
      <c r="L1" t="s">
        <v>4</v>
      </c>
      <c r="M1" t="s">
        <v>11</v>
      </c>
      <c r="N1" t="s">
        <v>10</v>
      </c>
      <c r="O1" t="s">
        <v>12</v>
      </c>
      <c r="P1" t="s">
        <v>10</v>
      </c>
      <c r="Q1" t="s">
        <v>13</v>
      </c>
      <c r="R1" t="s">
        <v>17</v>
      </c>
      <c r="S1" t="s">
        <v>18</v>
      </c>
    </row>
    <row r="2" spans="1:21" x14ac:dyDescent="0.25">
      <c r="A2" t="s">
        <v>7</v>
      </c>
      <c r="B2" t="s">
        <v>20</v>
      </c>
      <c r="C2" t="s">
        <v>8</v>
      </c>
      <c r="D2" t="s">
        <v>28</v>
      </c>
      <c r="E2" t="s">
        <v>23</v>
      </c>
      <c r="F2" t="s">
        <v>8</v>
      </c>
      <c r="H2" t="s">
        <v>23</v>
      </c>
      <c r="I2" t="s">
        <v>8</v>
      </c>
      <c r="J2" t="s">
        <v>23</v>
      </c>
      <c r="K2" t="s">
        <v>23</v>
      </c>
      <c r="L2" t="s">
        <v>8</v>
      </c>
      <c r="M2" t="s">
        <v>23</v>
      </c>
      <c r="N2" t="s">
        <v>8</v>
      </c>
      <c r="O2" t="s">
        <v>23</v>
      </c>
      <c r="P2" t="s">
        <v>8</v>
      </c>
      <c r="Q2" t="s">
        <v>8</v>
      </c>
      <c r="S2" t="s">
        <v>8</v>
      </c>
    </row>
    <row r="3" spans="1:21" x14ac:dyDescent="0.25">
      <c r="A3" t="s">
        <v>8</v>
      </c>
      <c r="B3" t="s">
        <v>1</v>
      </c>
      <c r="C3" t="s">
        <v>10</v>
      </c>
      <c r="E3" t="s">
        <v>2</v>
      </c>
      <c r="F3" t="s">
        <v>10</v>
      </c>
      <c r="H3" t="s">
        <v>3</v>
      </c>
      <c r="I3" t="s">
        <v>10</v>
      </c>
      <c r="K3" t="s">
        <v>4</v>
      </c>
      <c r="L3" t="s">
        <v>10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U3" t="s">
        <v>22</v>
      </c>
    </row>
    <row r="4" spans="1:21" x14ac:dyDescent="0.25">
      <c r="A4">
        <v>0</v>
      </c>
      <c r="E4">
        <v>0</v>
      </c>
      <c r="F4">
        <v>0</v>
      </c>
      <c r="G4">
        <f>$E$15-E4</f>
        <v>954.93586104846099</v>
      </c>
      <c r="H4">
        <v>0</v>
      </c>
      <c r="I4">
        <v>0</v>
      </c>
      <c r="J4">
        <f>$H$15-H4</f>
        <v>971.04399126092403</v>
      </c>
      <c r="K4">
        <v>0</v>
      </c>
      <c r="L4">
        <v>0</v>
      </c>
      <c r="R4">
        <v>0</v>
      </c>
      <c r="S4">
        <v>0</v>
      </c>
    </row>
    <row r="5" spans="1:21" x14ac:dyDescent="0.25">
      <c r="A5">
        <v>1</v>
      </c>
      <c r="B5">
        <f>A5*60</f>
        <v>60</v>
      </c>
      <c r="D5">
        <f>(E5-E4)/((A5-A4)*60)</f>
        <v>4.9219418439500169</v>
      </c>
      <c r="E5">
        <v>295.31651063700099</v>
      </c>
      <c r="F5">
        <v>28.843431548792601</v>
      </c>
      <c r="G5">
        <f t="shared" ref="G5:G15" si="0">$E$15-E5</f>
        <v>659.61935041146</v>
      </c>
      <c r="H5">
        <v>288.425806491885</v>
      </c>
      <c r="I5">
        <v>61.777347051344201</v>
      </c>
      <c r="J5">
        <f t="shared" ref="J5:J15" si="1">$H$15-H5</f>
        <v>682.61818476903909</v>
      </c>
      <c r="K5">
        <v>253.39045102215701</v>
      </c>
      <c r="L5">
        <v>46.154484611966197</v>
      </c>
      <c r="R5">
        <v>0.26094641777570099</v>
      </c>
      <c r="S5">
        <v>0.26534813630723803</v>
      </c>
    </row>
    <row r="6" spans="1:21" x14ac:dyDescent="0.25">
      <c r="A6">
        <v>2</v>
      </c>
      <c r="B6">
        <f t="shared" ref="B6:B15" si="2">A6*60</f>
        <v>120</v>
      </c>
      <c r="D6">
        <f>(E6-E5)/((A6-A5)*60)</f>
        <v>3.4508800304785172</v>
      </c>
      <c r="E6">
        <v>502.36931246571203</v>
      </c>
      <c r="F6">
        <v>55.907306405196699</v>
      </c>
      <c r="G6">
        <f t="shared" si="0"/>
        <v>452.56654858274896</v>
      </c>
      <c r="H6">
        <v>511.83596429463199</v>
      </c>
      <c r="I6">
        <v>75.219285589516204</v>
      </c>
      <c r="J6">
        <f t="shared" si="1"/>
        <v>459.20802696629204</v>
      </c>
      <c r="K6">
        <v>499.72115770596201</v>
      </c>
      <c r="L6">
        <v>78.7643270581747</v>
      </c>
      <c r="R6">
        <v>0.51462257343981099</v>
      </c>
      <c r="S6">
        <v>0.52330337364993096</v>
      </c>
    </row>
    <row r="7" spans="1:21" x14ac:dyDescent="0.25">
      <c r="A7">
        <v>3</v>
      </c>
      <c r="B7">
        <f t="shared" si="2"/>
        <v>180</v>
      </c>
      <c r="D7">
        <f>(E7-E6)/((A7-A6)*60)</f>
        <v>2.0935452042060319</v>
      </c>
      <c r="E7">
        <v>627.98202471807394</v>
      </c>
      <c r="F7">
        <v>120.278280768672</v>
      </c>
      <c r="G7">
        <f t="shared" si="0"/>
        <v>326.95383633038705</v>
      </c>
      <c r="H7">
        <v>662.74365980025004</v>
      </c>
      <c r="I7">
        <v>66.894661171191402</v>
      </c>
      <c r="J7">
        <f t="shared" si="1"/>
        <v>308.30033146067399</v>
      </c>
      <c r="K7">
        <v>640.79838321091904</v>
      </c>
      <c r="L7">
        <v>77.2340058958209</v>
      </c>
      <c r="R7">
        <v>0.65990664581408698</v>
      </c>
      <c r="S7">
        <v>0.67103813915560995</v>
      </c>
    </row>
    <row r="8" spans="1:21" x14ac:dyDescent="0.25">
      <c r="A8">
        <v>4</v>
      </c>
      <c r="B8">
        <f t="shared" si="2"/>
        <v>240</v>
      </c>
      <c r="D8">
        <f>(E8-E7)/((A8-A7)*60)</f>
        <v>1.5279784923295685</v>
      </c>
      <c r="E8">
        <v>719.66073425784805</v>
      </c>
      <c r="F8">
        <v>52.527542929232702</v>
      </c>
      <c r="G8">
        <f t="shared" si="0"/>
        <v>235.27512679061294</v>
      </c>
      <c r="H8">
        <v>707.78953945068702</v>
      </c>
      <c r="I8">
        <v>71.633269556086802</v>
      </c>
      <c r="J8">
        <f t="shared" si="1"/>
        <v>263.25445181023701</v>
      </c>
      <c r="K8">
        <v>692.95529274697003</v>
      </c>
      <c r="L8">
        <v>66.1196185156209</v>
      </c>
      <c r="R8">
        <v>0.71361884629670702</v>
      </c>
      <c r="S8">
        <v>0.72565637234122504</v>
      </c>
    </row>
    <row r="9" spans="1:21" x14ac:dyDescent="0.25">
      <c r="A9">
        <v>5</v>
      </c>
      <c r="B9">
        <f t="shared" si="2"/>
        <v>300</v>
      </c>
      <c r="D9">
        <f>(E9-E8)/((A9-A8)*60)</f>
        <v>1.6419641486335499</v>
      </c>
      <c r="E9">
        <v>818.17858317586104</v>
      </c>
      <c r="F9">
        <v>79.750487846103297</v>
      </c>
      <c r="G9">
        <f t="shared" si="0"/>
        <v>136.75727787259996</v>
      </c>
      <c r="H9">
        <v>821.17595168539299</v>
      </c>
      <c r="I9">
        <v>52.155638793026803</v>
      </c>
      <c r="J9">
        <f t="shared" si="1"/>
        <v>149.86803957553104</v>
      </c>
      <c r="K9">
        <v>806.53899842086003</v>
      </c>
      <c r="L9">
        <v>71.715820168090403</v>
      </c>
      <c r="R9">
        <v>0.83058955688871505</v>
      </c>
      <c r="S9">
        <v>0.84460017821022004</v>
      </c>
    </row>
    <row r="10" spans="1:21" x14ac:dyDescent="0.25">
      <c r="A10">
        <v>6</v>
      </c>
      <c r="B10">
        <f t="shared" si="2"/>
        <v>360</v>
      </c>
      <c r="D10">
        <f>(E10-E9)/((A10-A9)*60)</f>
        <v>-8.9206863761050192E-2</v>
      </c>
      <c r="E10">
        <v>812.82617135019802</v>
      </c>
      <c r="F10">
        <v>81.053468102353406</v>
      </c>
      <c r="G10">
        <f t="shared" si="0"/>
        <v>142.10968969826297</v>
      </c>
      <c r="H10">
        <v>877.58248102371999</v>
      </c>
      <c r="I10">
        <v>32.006979761216797</v>
      </c>
      <c r="J10">
        <f t="shared" si="1"/>
        <v>93.461510237204038</v>
      </c>
      <c r="K10">
        <v>843.76168979067199</v>
      </c>
      <c r="L10">
        <v>70.239391907760805</v>
      </c>
      <c r="R10">
        <v>0.86892220886411897</v>
      </c>
      <c r="S10">
        <v>0.88357943628200797</v>
      </c>
    </row>
    <row r="11" spans="1:21" x14ac:dyDescent="0.25">
      <c r="A11">
        <v>7</v>
      </c>
      <c r="B11">
        <f t="shared" si="2"/>
        <v>420</v>
      </c>
      <c r="D11">
        <f>(E11-E10)/((A11-A10)*60)</f>
        <v>1.763368834704867</v>
      </c>
      <c r="E11">
        <v>918.62830143249005</v>
      </c>
      <c r="F11">
        <v>16.450759480418899</v>
      </c>
      <c r="G11">
        <f t="shared" si="0"/>
        <v>36.307559615970945</v>
      </c>
      <c r="H11">
        <v>923.19919538077397</v>
      </c>
      <c r="I11">
        <v>15.7927638499607</v>
      </c>
      <c r="J11">
        <f t="shared" si="1"/>
        <v>47.844795880150059</v>
      </c>
      <c r="K11">
        <v>915.95322701065004</v>
      </c>
      <c r="L11">
        <v>27.980368170141901</v>
      </c>
      <c r="R11">
        <v>0.94326645883598204</v>
      </c>
      <c r="S11">
        <v>0.95917774624673802</v>
      </c>
    </row>
    <row r="12" spans="1:21" x14ac:dyDescent="0.25">
      <c r="A12">
        <v>8</v>
      </c>
      <c r="B12">
        <f t="shared" si="2"/>
        <v>480</v>
      </c>
      <c r="D12">
        <f>(E12-E11)/((A12-A11)*60)</f>
        <v>0.86593781367468337</v>
      </c>
      <c r="E12">
        <v>970.58457025297105</v>
      </c>
      <c r="F12">
        <v>0.792181576027565</v>
      </c>
      <c r="G12">
        <f t="shared" si="0"/>
        <v>-15.648709204510055</v>
      </c>
      <c r="H12">
        <v>955.00284332084902</v>
      </c>
      <c r="I12">
        <v>4.9080352304558303</v>
      </c>
      <c r="J12">
        <f t="shared" si="1"/>
        <v>16.041147940075007</v>
      </c>
      <c r="K12">
        <v>938.48410034888002</v>
      </c>
      <c r="L12">
        <v>18.0077714109451</v>
      </c>
      <c r="R12">
        <v>0.96646919068026604</v>
      </c>
      <c r="S12">
        <v>0.98277186838337205</v>
      </c>
    </row>
    <row r="13" spans="1:21" x14ac:dyDescent="0.25">
      <c r="A13">
        <v>9</v>
      </c>
      <c r="B13">
        <f t="shared" si="2"/>
        <v>540</v>
      </c>
      <c r="D13">
        <f>(E13-E12)/((A13-A12)*60)</f>
        <v>-0.10340497561718394</v>
      </c>
      <c r="E13">
        <v>964.38027171594001</v>
      </c>
      <c r="F13">
        <v>2.89304711565266</v>
      </c>
      <c r="G13">
        <f t="shared" si="0"/>
        <v>-9.4444106674790191</v>
      </c>
      <c r="H13">
        <v>967.89621410736595</v>
      </c>
      <c r="I13">
        <v>13.156740392097401</v>
      </c>
      <c r="J13">
        <f t="shared" si="1"/>
        <v>3.1477771535580814</v>
      </c>
      <c r="K13">
        <v>953.17393325376497</v>
      </c>
      <c r="L13">
        <v>2.1722438472136898</v>
      </c>
      <c r="R13">
        <v>0.98159706648928002</v>
      </c>
      <c r="S13">
        <v>0.99815492551220997</v>
      </c>
    </row>
    <row r="14" spans="1:21" x14ac:dyDescent="0.25">
      <c r="A14">
        <v>10</v>
      </c>
      <c r="B14">
        <f t="shared" si="2"/>
        <v>600</v>
      </c>
      <c r="D14">
        <f>(E14-E13)/((A14-A13)*60)</f>
        <v>5.5646989738899796E-2</v>
      </c>
      <c r="E14">
        <v>967.719091100274</v>
      </c>
      <c r="F14">
        <v>12.190491554427499</v>
      </c>
      <c r="G14">
        <f t="shared" si="0"/>
        <v>-12.783230051813007</v>
      </c>
      <c r="H14">
        <v>970.45757116104903</v>
      </c>
      <c r="I14">
        <v>19.771289119556901</v>
      </c>
      <c r="J14">
        <f t="shared" si="1"/>
        <v>0.58642009987499932</v>
      </c>
      <c r="K14">
        <v>959.67609422817998</v>
      </c>
      <c r="L14">
        <v>11.7352279737113</v>
      </c>
      <c r="R14">
        <v>0.98829311840137901</v>
      </c>
      <c r="S14">
        <v>1.0049639283359999</v>
      </c>
    </row>
    <row r="15" spans="1:21" x14ac:dyDescent="0.25">
      <c r="A15">
        <v>24</v>
      </c>
      <c r="B15">
        <f t="shared" si="2"/>
        <v>1440</v>
      </c>
      <c r="D15">
        <f>(E15-E14)/((A15-A14)*60)</f>
        <v>-1.5218131014063104E-2</v>
      </c>
      <c r="E15">
        <v>954.93586104846099</v>
      </c>
      <c r="F15">
        <v>6.5400188089379796</v>
      </c>
      <c r="G15">
        <f t="shared" si="0"/>
        <v>0</v>
      </c>
      <c r="H15">
        <v>971.04399126092403</v>
      </c>
      <c r="I15">
        <v>22.319370916452701</v>
      </c>
      <c r="J15">
        <f t="shared" si="1"/>
        <v>0</v>
      </c>
      <c r="K15">
        <v>975.82660987269003</v>
      </c>
      <c r="L15">
        <v>6.0164882996368503</v>
      </c>
      <c r="R15">
        <v>1.0049252337224801</v>
      </c>
      <c r="S15">
        <v>1.0218765989176399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quad_conc</vt:lpstr>
      <vt:lpstr>quad_conversion</vt:lpstr>
      <vt:lpstr>binary_conc (plt F)</vt:lpstr>
      <vt:lpstr>binary_conversion (plt 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Hu, Mengqi</cp:lastModifiedBy>
  <dcterms:modified xsi:type="dcterms:W3CDTF">2025-01-10T17:40:41Z</dcterms:modified>
</cp:coreProperties>
</file>